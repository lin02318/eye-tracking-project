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omas\Documents\Courses\ECE5995\eye-tracking-project\Protothreads\b_Blinky_and_Serial\"/>
    </mc:Choice>
  </mc:AlternateContent>
  <xr:revisionPtr revIDLastSave="0" documentId="13_ncr:1_{51EAE1EA-C7AF-4ABE-A27A-859FDFE96203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tmag5170_xy" sheetId="1" r:id="rId1"/>
    <sheet name="tmag6180_xy" sheetId="2" r:id="rId2"/>
    <sheet name="combin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3" l="1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26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3" i="3"/>
</calcChain>
</file>

<file path=xl/sharedStrings.xml><?xml version="1.0" encoding="utf-8"?>
<sst xmlns="http://schemas.openxmlformats.org/spreadsheetml/2006/main" count="29" uniqueCount="15">
  <si>
    <t>Actual angle</t>
  </si>
  <si>
    <t>Measured angle</t>
  </si>
  <si>
    <t>TMAG5170</t>
  </si>
  <si>
    <t>measured angle</t>
  </si>
  <si>
    <t>error angle</t>
  </si>
  <si>
    <t>TMAG6180</t>
  </si>
  <si>
    <t>actual angle</t>
  </si>
  <si>
    <t>180 (0)</t>
  </si>
  <si>
    <t>202.5 (22.5)</t>
  </si>
  <si>
    <t>225 (45)</t>
  </si>
  <si>
    <t>247.5 (67.5)</t>
  </si>
  <si>
    <t>270 (90)</t>
  </si>
  <si>
    <t>292.5 (112.5)</t>
  </si>
  <si>
    <t>315 (135)</t>
  </si>
  <si>
    <t>337.5 (157.5)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</si>
</sst>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rgb="FF000000"/>
      <name val="Arial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/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TMAG5170</a:t>
            </a:r>
            <a:r>
              <a:rPr lang="en-US" baseline="0"/>
              <a:t> 3-Axis Linear Sensor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combined!$A$25</c:f>
              <c:strCache>
                <c:ptCount val="1"/>
                <c:pt idx="0">
                  <c:v>actual angle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combined!$A$26:$A$41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86-4073-991D-8DFA3FF70F0E}"/>
            </c:ext>
          </c:extLst>
        </c:ser>
        <c:ser>
          <c:idx val="1"/>
          <c:order val="1"/>
          <c:tx>
            <c:strRef>
              <c:f>combined!$B$25</c:f>
              <c:strCache>
                <c:ptCount val="1"/>
                <c:pt idx="0">
                  <c:v>measured angle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combined!$B$26:$B$41</c:f>
              <c:numCache>
                <c:formatCode>General</c:formatCode>
                <c:ptCount val="16"/>
                <c:pt idx="0">
                  <c:v>3.6</c:v>
                </c:pt>
                <c:pt idx="1">
                  <c:v>19.3</c:v>
                </c:pt>
                <c:pt idx="2">
                  <c:v>52.2</c:v>
                </c:pt>
                <c:pt idx="3">
                  <c:v>72.099999999999994</c:v>
                </c:pt>
                <c:pt idx="4">
                  <c:v>89.1</c:v>
                </c:pt>
                <c:pt idx="5">
                  <c:v>116.9</c:v>
                </c:pt>
                <c:pt idx="6">
                  <c:v>136.5</c:v>
                </c:pt>
                <c:pt idx="7">
                  <c:v>157.1</c:v>
                </c:pt>
                <c:pt idx="8">
                  <c:v>174.6</c:v>
                </c:pt>
                <c:pt idx="9">
                  <c:v>202.7</c:v>
                </c:pt>
                <c:pt idx="10">
                  <c:v>221.2</c:v>
                </c:pt>
                <c:pt idx="11">
                  <c:v>242.3</c:v>
                </c:pt>
                <c:pt idx="12">
                  <c:v>271.7</c:v>
                </c:pt>
                <c:pt idx="13">
                  <c:v>303.10000000000002</c:v>
                </c:pt>
                <c:pt idx="14">
                  <c:v>321.10000000000002</c:v>
                </c:pt>
                <c:pt idx="15">
                  <c:v>345.6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86-4073-991D-8DFA3FF70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2388272"/>
        <c:axId val="1542386832"/>
      </c:lineChart>
      <c:catAx>
        <c:axId val="1542388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</a:t>
                </a:r>
                <a:r>
                  <a:rPr lang="en-US" baseline="0"/>
                  <a:t> point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386832"/>
        <c:crosses val="autoZero"/>
        <c:auto val="1"/>
        <c:lblAlgn val="ctr"/>
        <c:lblOffset val="100"/>
        <c:noMultiLvlLbl val="0"/>
      </c:catAx>
      <c:valAx>
        <c:axId val="154238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Angle</a:t>
                </a:r>
                <a:r>
                  <a:rPr lang="en-US" baseline="0"/>
                  <a:t> (degree)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38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TMAG6180</a:t>
            </a:r>
            <a:r>
              <a:rPr lang="en-US" baseline="0"/>
              <a:t> Analog AMR Angle Senor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combined!$D$25</c:f>
              <c:strCache>
                <c:ptCount val="1"/>
                <c:pt idx="0">
                  <c:v>actual angle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combined!$D$26:$D$41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0</c:v>
                </c:pt>
                <c:pt idx="9">
                  <c:v>22.5</c:v>
                </c:pt>
                <c:pt idx="10">
                  <c:v>45</c:v>
                </c:pt>
                <c:pt idx="11">
                  <c:v>67.5</c:v>
                </c:pt>
                <c:pt idx="12">
                  <c:v>90</c:v>
                </c:pt>
                <c:pt idx="13">
                  <c:v>112.5</c:v>
                </c:pt>
                <c:pt idx="14">
                  <c:v>135</c:v>
                </c:pt>
                <c:pt idx="15">
                  <c:v>157.5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6A-4829-BC9E-FE81D17AE2F3}"/>
            </c:ext>
          </c:extLst>
        </c:ser>
        <c:ser>
          <c:idx val="1"/>
          <c:order val="1"/>
          <c:tx>
            <c:strRef>
              <c:f>combined!$E$25</c:f>
              <c:strCache>
                <c:ptCount val="1"/>
                <c:pt idx="0">
                  <c:v>measured angle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combined!$E$26:$E$41</c:f>
              <c:numCache>
                <c:formatCode>General</c:formatCode>
                <c:ptCount val="16"/>
                <c:pt idx="0">
                  <c:v>4.7</c:v>
                </c:pt>
                <c:pt idx="1">
                  <c:v>28.2</c:v>
                </c:pt>
                <c:pt idx="2">
                  <c:v>49.3</c:v>
                </c:pt>
                <c:pt idx="3">
                  <c:v>72.7</c:v>
                </c:pt>
                <c:pt idx="4">
                  <c:v>93.7</c:v>
                </c:pt>
                <c:pt idx="5">
                  <c:v>107.1</c:v>
                </c:pt>
                <c:pt idx="6">
                  <c:v>129</c:v>
                </c:pt>
                <c:pt idx="7">
                  <c:v>148</c:v>
                </c:pt>
                <c:pt idx="8">
                  <c:v>0.7</c:v>
                </c:pt>
                <c:pt idx="9">
                  <c:v>21.5</c:v>
                </c:pt>
                <c:pt idx="10">
                  <c:v>46.1</c:v>
                </c:pt>
                <c:pt idx="11">
                  <c:v>67.099999999999994</c:v>
                </c:pt>
                <c:pt idx="12">
                  <c:v>88.9</c:v>
                </c:pt>
                <c:pt idx="13">
                  <c:v>118.7</c:v>
                </c:pt>
                <c:pt idx="14">
                  <c:v>141.69999999999999</c:v>
                </c:pt>
                <c:pt idx="15">
                  <c:v>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6A-4829-BC9E-FE81D17AE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5221472"/>
        <c:axId val="1525218112"/>
      </c:lineChart>
      <c:catAx>
        <c:axId val="1525221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</a:t>
                </a:r>
                <a:r>
                  <a:rPr lang="en-US" baseline="0"/>
                  <a:t> point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218112"/>
        <c:crosses val="autoZero"/>
        <c:auto val="1"/>
        <c:lblAlgn val="ctr"/>
        <c:lblOffset val="100"/>
        <c:noMultiLvlLbl val="0"/>
      </c:catAx>
      <c:valAx>
        <c:axId val="152521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Angle</a:t>
                </a:r>
                <a:r>
                  <a:rPr lang="en-US" baseline="0"/>
                  <a:t> (degree)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22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731520</xdr:colOff>
      <xdr:row>43</xdr:row>
      <xdr:rowOff>80010</xdr:rowOff>
    </xdr:from>
    <xdr:to>
      <xdr:col>4</xdr:col>
      <xdr:colOff>426720</xdr:colOff>
      <xdr:row>59</xdr:row>
      <xdr:rowOff>140970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2B014C-1C08-BD8D-3457-F31A58DE70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548640</xdr:colOff>
      <xdr:row>42</xdr:row>
      <xdr:rowOff>148590</xdr:rowOff>
    </xdr:from>
    <xdr:to>
      <xdr:col>12</xdr:col>
      <xdr:colOff>243840</xdr:colOff>
      <xdr:row>59</xdr:row>
      <xdr:rowOff>41910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86A9EF6-2E13-0DDC-FD68-0C8A465DA1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7"/>
  <sheetViews>
    <sheetView workbookViewId="0">
      <selection activeCell="B2" sqref="B2:B17"/>
    </sheetView>
  </sheetViews>
  <sheetFormatPr defaultColWidth="12.6640625" defaultRowHeight="15.75" customHeight="1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>
        <v>0</v>
      </c>
      <c r="B2" s="1">
        <v>3.6</v>
      </c>
    </row>
    <row r="3" spans="1:2" x14ac:dyDescent="0.25">
      <c r="A3" s="1">
        <v>22.5</v>
      </c>
      <c r="B3" s="1">
        <v>19.3</v>
      </c>
    </row>
    <row r="4" spans="1:2" x14ac:dyDescent="0.25">
      <c r="A4" s="1">
        <v>45</v>
      </c>
      <c r="B4" s="1">
        <v>52.2</v>
      </c>
    </row>
    <row r="5" spans="1:2" x14ac:dyDescent="0.25">
      <c r="A5" s="1">
        <v>67.5</v>
      </c>
      <c r="B5" s="1">
        <v>72.099999999999994</v>
      </c>
    </row>
    <row r="6" spans="1:2" x14ac:dyDescent="0.25">
      <c r="A6" s="1">
        <v>90</v>
      </c>
      <c r="B6" s="1">
        <v>89.1</v>
      </c>
    </row>
    <row r="7" spans="1:2" x14ac:dyDescent="0.25">
      <c r="A7" s="1">
        <v>112.5</v>
      </c>
      <c r="B7" s="1">
        <v>116.9</v>
      </c>
    </row>
    <row r="8" spans="1:2" x14ac:dyDescent="0.25">
      <c r="A8" s="1">
        <v>135</v>
      </c>
      <c r="B8" s="1">
        <v>136.5</v>
      </c>
    </row>
    <row r="9" spans="1:2" x14ac:dyDescent="0.25">
      <c r="A9" s="1">
        <v>157.5</v>
      </c>
      <c r="B9" s="1">
        <v>157.1</v>
      </c>
    </row>
    <row r="10" spans="1:2" x14ac:dyDescent="0.25">
      <c r="A10" s="1">
        <v>180</v>
      </c>
      <c r="B10" s="1">
        <v>174.6</v>
      </c>
    </row>
    <row r="11" spans="1:2" x14ac:dyDescent="0.25">
      <c r="A11" s="1">
        <v>202.5</v>
      </c>
      <c r="B11" s="1">
        <v>202.7</v>
      </c>
    </row>
    <row r="12" spans="1:2" x14ac:dyDescent="0.25">
      <c r="A12" s="1">
        <v>225</v>
      </c>
      <c r="B12" s="1">
        <v>221.2</v>
      </c>
    </row>
    <row r="13" spans="1:2" x14ac:dyDescent="0.25">
      <c r="A13" s="1">
        <v>247.5</v>
      </c>
      <c r="B13" s="1">
        <v>242.3</v>
      </c>
    </row>
    <row r="14" spans="1:2" x14ac:dyDescent="0.25">
      <c r="A14" s="1">
        <v>270</v>
      </c>
      <c r="B14" s="1">
        <v>271.7</v>
      </c>
    </row>
    <row r="15" spans="1:2" x14ac:dyDescent="0.25">
      <c r="A15" s="1">
        <v>292.5</v>
      </c>
      <c r="B15" s="1">
        <v>303.10000000000002</v>
      </c>
    </row>
    <row r="16" spans="1:2" x14ac:dyDescent="0.25">
      <c r="A16" s="1">
        <v>315</v>
      </c>
      <c r="B16" s="1">
        <v>321.10000000000002</v>
      </c>
    </row>
    <row r="17" spans="1:2" x14ac:dyDescent="0.25">
      <c r="A17" s="1">
        <v>337.5</v>
      </c>
      <c r="B17" s="1">
        <v>345.6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7"/>
  <sheetViews>
    <sheetView workbookViewId="0">
      <selection activeCell="B2" sqref="B2:B17"/>
    </sheetView>
  </sheetViews>
  <sheetFormatPr defaultColWidth="12.6640625" defaultRowHeight="15.75" customHeight="1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>
        <v>0</v>
      </c>
      <c r="B2" s="1">
        <v>4.7</v>
      </c>
    </row>
    <row r="3" spans="1:2" x14ac:dyDescent="0.25">
      <c r="A3" s="1">
        <v>22.5</v>
      </c>
      <c r="B3" s="1">
        <v>28.2</v>
      </c>
    </row>
    <row r="4" spans="1:2" x14ac:dyDescent="0.25">
      <c r="A4" s="1">
        <v>45</v>
      </c>
      <c r="B4" s="1">
        <v>49.3</v>
      </c>
    </row>
    <row r="5" spans="1:2" x14ac:dyDescent="0.25">
      <c r="A5" s="1">
        <v>67.5</v>
      </c>
      <c r="B5" s="1">
        <v>72.7</v>
      </c>
    </row>
    <row r="6" spans="1:2" x14ac:dyDescent="0.25">
      <c r="A6" s="1">
        <v>90</v>
      </c>
      <c r="B6" s="1">
        <v>93.7</v>
      </c>
    </row>
    <row r="7" spans="1:2" x14ac:dyDescent="0.25">
      <c r="A7" s="1">
        <v>112.5</v>
      </c>
      <c r="B7" s="1">
        <v>107.1</v>
      </c>
    </row>
    <row r="8" spans="1:2" x14ac:dyDescent="0.25">
      <c r="A8" s="1">
        <v>135</v>
      </c>
      <c r="B8" s="1">
        <v>129</v>
      </c>
    </row>
    <row r="9" spans="1:2" x14ac:dyDescent="0.25">
      <c r="A9" s="1">
        <v>157.5</v>
      </c>
      <c r="B9" s="1">
        <v>148</v>
      </c>
    </row>
    <row r="10" spans="1:2" x14ac:dyDescent="0.25">
      <c r="A10" s="1">
        <v>180</v>
      </c>
      <c r="B10" s="1">
        <v>0.7</v>
      </c>
    </row>
    <row r="11" spans="1:2" x14ac:dyDescent="0.25">
      <c r="A11" s="1">
        <v>202.5</v>
      </c>
      <c r="B11" s="1">
        <v>21.5</v>
      </c>
    </row>
    <row r="12" spans="1:2" x14ac:dyDescent="0.25">
      <c r="A12" s="1">
        <v>225</v>
      </c>
      <c r="B12" s="1">
        <v>46.1</v>
      </c>
    </row>
    <row r="13" spans="1:2" x14ac:dyDescent="0.25">
      <c r="A13" s="1">
        <v>247.5</v>
      </c>
      <c r="B13" s="1">
        <v>67.099999999999994</v>
      </c>
    </row>
    <row r="14" spans="1:2" x14ac:dyDescent="0.25">
      <c r="A14" s="1">
        <v>270</v>
      </c>
      <c r="B14" s="1">
        <v>88.9</v>
      </c>
    </row>
    <row r="15" spans="1:2" x14ac:dyDescent="0.25">
      <c r="A15" s="1">
        <v>292.5</v>
      </c>
      <c r="B15" s="1">
        <v>118.7</v>
      </c>
    </row>
    <row r="16" spans="1:2" x14ac:dyDescent="0.25">
      <c r="A16" s="1">
        <v>315</v>
      </c>
      <c r="B16" s="1">
        <v>141.69999999999999</v>
      </c>
    </row>
    <row r="17" spans="1:2" x14ac:dyDescent="0.25">
      <c r="A17" s="1">
        <v>337.5</v>
      </c>
      <c r="B17" s="1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00687-E33A-4B43-8247-5025E6B6CE35}">
  <dimension ref="A1:M41"/>
  <sheetViews>
    <sheetView tabSelected="1" topLeftCell="A34" workbookViewId="0">
      <selection activeCell="K38" sqref="K38"/>
    </sheetView>
  </sheetViews>
  <sheetFormatPr defaultRowHeight="13.2" x14ac:dyDescent="0.25"/>
  <cols>
    <col min="1" max="6" width="17.77734375" customWidth="1"/>
  </cols>
  <sheetData>
    <row r="1" spans="1:13" x14ac:dyDescent="0.25">
      <c r="A1" s="2"/>
      <c r="B1" s="2" t="s">
        <v>2</v>
      </c>
      <c r="C1" s="2"/>
      <c r="D1" s="2" t="s">
        <v>5</v>
      </c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2" t="s">
        <v>6</v>
      </c>
      <c r="B2" s="2" t="s">
        <v>3</v>
      </c>
      <c r="C2" s="2" t="s">
        <v>4</v>
      </c>
      <c r="D2" s="2" t="s">
        <v>3</v>
      </c>
      <c r="E2" s="2" t="s">
        <v>4</v>
      </c>
      <c r="F2" s="2"/>
      <c r="G2" s="2"/>
      <c r="H2" s="2" t="s">
        <v>6</v>
      </c>
      <c r="I2" s="2" t="s">
        <v>6</v>
      </c>
      <c r="J2" s="2"/>
      <c r="K2" s="2"/>
      <c r="L2" s="2"/>
      <c r="M2" s="2"/>
    </row>
    <row r="3" spans="1:13" x14ac:dyDescent="0.25">
      <c r="A3" s="3">
        <v>0</v>
      </c>
      <c r="B3" s="3">
        <v>3.6</v>
      </c>
      <c r="C3" s="2">
        <f t="shared" ref="C3:C18" si="0">B3-H3</f>
        <v>3.6</v>
      </c>
      <c r="D3" s="3">
        <v>4.7</v>
      </c>
      <c r="E3" s="2">
        <f t="shared" ref="E3:E18" si="1">D3-I3</f>
        <v>4.7</v>
      </c>
      <c r="F3" s="2"/>
      <c r="G3" s="2"/>
      <c r="H3" s="3">
        <v>0</v>
      </c>
      <c r="I3" s="3">
        <v>0</v>
      </c>
      <c r="J3" s="2"/>
      <c r="K3" s="2"/>
      <c r="L3" s="2"/>
      <c r="M3" s="2"/>
    </row>
    <row r="4" spans="1:13" x14ac:dyDescent="0.25">
      <c r="A4" s="3">
        <v>22.5</v>
      </c>
      <c r="B4" s="3">
        <v>19.3</v>
      </c>
      <c r="C4" s="2">
        <f t="shared" si="0"/>
        <v>-3.1999999999999993</v>
      </c>
      <c r="D4" s="3">
        <v>28.2</v>
      </c>
      <c r="E4" s="2">
        <f t="shared" si="1"/>
        <v>5.6999999999999993</v>
      </c>
      <c r="F4" s="2"/>
      <c r="G4" s="2"/>
      <c r="H4" s="3">
        <v>22.5</v>
      </c>
      <c r="I4" s="3">
        <v>22.5</v>
      </c>
      <c r="J4" s="2"/>
      <c r="K4" s="2"/>
      <c r="L4" s="2"/>
      <c r="M4" s="2"/>
    </row>
    <row r="5" spans="1:13" x14ac:dyDescent="0.25">
      <c r="A5" s="3">
        <v>45</v>
      </c>
      <c r="B5" s="3">
        <v>52.2</v>
      </c>
      <c r="C5" s="2">
        <f t="shared" si="0"/>
        <v>7.2000000000000028</v>
      </c>
      <c r="D5" s="3">
        <v>49.3</v>
      </c>
      <c r="E5" s="2">
        <f t="shared" si="1"/>
        <v>4.2999999999999972</v>
      </c>
      <c r="F5" s="2"/>
      <c r="G5" s="2"/>
      <c r="H5" s="3">
        <v>45</v>
      </c>
      <c r="I5" s="3">
        <v>45</v>
      </c>
      <c r="J5" s="2"/>
      <c r="K5" s="2"/>
      <c r="L5" s="2"/>
      <c r="M5" s="2"/>
    </row>
    <row r="6" spans="1:13" x14ac:dyDescent="0.25">
      <c r="A6" s="3">
        <v>67.5</v>
      </c>
      <c r="B6" s="3">
        <v>72.099999999999994</v>
      </c>
      <c r="C6" s="2">
        <f t="shared" si="0"/>
        <v>4.5999999999999943</v>
      </c>
      <c r="D6" s="3">
        <v>72.7</v>
      </c>
      <c r="E6" s="2">
        <f t="shared" si="1"/>
        <v>5.2000000000000028</v>
      </c>
      <c r="F6" s="2"/>
      <c r="G6" s="2"/>
      <c r="H6" s="3">
        <v>67.5</v>
      </c>
      <c r="I6" s="3">
        <v>67.5</v>
      </c>
      <c r="J6" s="2"/>
      <c r="K6" s="2"/>
      <c r="L6" s="2"/>
      <c r="M6" s="2"/>
    </row>
    <row r="7" spans="1:13" x14ac:dyDescent="0.25">
      <c r="A7" s="3">
        <v>90</v>
      </c>
      <c r="B7" s="3">
        <v>89.1</v>
      </c>
      <c r="C7" s="2">
        <f t="shared" si="0"/>
        <v>-0.90000000000000568</v>
      </c>
      <c r="D7" s="3">
        <v>93.7</v>
      </c>
      <c r="E7" s="2">
        <f t="shared" si="1"/>
        <v>3.7000000000000028</v>
      </c>
      <c r="F7" s="2"/>
      <c r="G7" s="2"/>
      <c r="H7" s="3">
        <v>90</v>
      </c>
      <c r="I7" s="3">
        <v>90</v>
      </c>
      <c r="J7" s="2"/>
      <c r="K7" s="2"/>
      <c r="L7" s="2"/>
      <c r="M7" s="2"/>
    </row>
    <row r="8" spans="1:13" x14ac:dyDescent="0.25">
      <c r="A8" s="3">
        <v>112.5</v>
      </c>
      <c r="B8" s="3">
        <v>116.9</v>
      </c>
      <c r="C8" s="2">
        <f t="shared" si="0"/>
        <v>4.4000000000000057</v>
      </c>
      <c r="D8" s="3">
        <v>107.1</v>
      </c>
      <c r="E8" s="2">
        <f t="shared" si="1"/>
        <v>-5.4000000000000057</v>
      </c>
      <c r="F8" s="2"/>
      <c r="G8" s="2"/>
      <c r="H8" s="3">
        <v>112.5</v>
      </c>
      <c r="I8" s="3">
        <v>112.5</v>
      </c>
      <c r="J8" s="2"/>
      <c r="K8" s="2"/>
      <c r="L8" s="2"/>
      <c r="M8" s="2"/>
    </row>
    <row r="9" spans="1:13" x14ac:dyDescent="0.25">
      <c r="A9" s="3">
        <v>135</v>
      </c>
      <c r="B9" s="3">
        <v>136.5</v>
      </c>
      <c r="C9" s="2">
        <f t="shared" si="0"/>
        <v>1.5</v>
      </c>
      <c r="D9" s="3">
        <v>129</v>
      </c>
      <c r="E9" s="2">
        <f t="shared" si="1"/>
        <v>-6</v>
      </c>
      <c r="F9" s="2"/>
      <c r="G9" s="2"/>
      <c r="H9" s="3">
        <v>135</v>
      </c>
      <c r="I9" s="3">
        <v>135</v>
      </c>
      <c r="J9" s="2"/>
      <c r="K9" s="2"/>
      <c r="L9" s="2"/>
      <c r="M9" s="2"/>
    </row>
    <row r="10" spans="1:13" x14ac:dyDescent="0.25">
      <c r="A10" s="3">
        <v>157.5</v>
      </c>
      <c r="B10" s="3">
        <v>157.1</v>
      </c>
      <c r="C10" s="2">
        <f t="shared" si="0"/>
        <v>-0.40000000000000568</v>
      </c>
      <c r="D10" s="3">
        <v>148</v>
      </c>
      <c r="E10" s="2">
        <f t="shared" si="1"/>
        <v>-9.5</v>
      </c>
      <c r="F10" s="2"/>
      <c r="G10" s="2"/>
      <c r="H10" s="3">
        <v>157.5</v>
      </c>
      <c r="I10" s="3">
        <v>157.5</v>
      </c>
      <c r="J10" s="2"/>
      <c r="K10" s="2"/>
      <c r="L10" s="2"/>
      <c r="M10" s="2"/>
    </row>
    <row r="11" spans="1:13" x14ac:dyDescent="0.25">
      <c r="A11" s="3" t="s">
        <v>7</v>
      </c>
      <c r="B11" s="3">
        <v>174.6</v>
      </c>
      <c r="C11" s="2">
        <f t="shared" si="0"/>
        <v>-5.4000000000000057</v>
      </c>
      <c r="D11" s="3">
        <v>0.7</v>
      </c>
      <c r="E11" s="2">
        <f t="shared" si="1"/>
        <v>0.7</v>
      </c>
      <c r="F11" s="2"/>
      <c r="G11" s="2"/>
      <c r="H11" s="3">
        <v>180</v>
      </c>
      <c r="I11" s="3">
        <v>0</v>
      </c>
      <c r="J11" s="2"/>
      <c r="K11" s="2"/>
      <c r="L11" s="2"/>
      <c r="M11" s="2"/>
    </row>
    <row r="12" spans="1:13" x14ac:dyDescent="0.25">
      <c r="A12" s="3" t="s">
        <v>8</v>
      </c>
      <c r="B12" s="3">
        <v>202.7</v>
      </c>
      <c r="C12" s="2">
        <f t="shared" si="0"/>
        <v>0.19999999999998863</v>
      </c>
      <c r="D12" s="3">
        <v>21.5</v>
      </c>
      <c r="E12" s="2">
        <f t="shared" si="1"/>
        <v>-1</v>
      </c>
      <c r="F12" s="2"/>
      <c r="G12" s="2"/>
      <c r="H12" s="3">
        <v>202.5</v>
      </c>
      <c r="I12" s="3">
        <v>22.5</v>
      </c>
      <c r="J12" s="2"/>
      <c r="K12" s="2"/>
      <c r="L12" s="2"/>
      <c r="M12" s="2"/>
    </row>
    <row r="13" spans="1:13" x14ac:dyDescent="0.25">
      <c r="A13" s="3" t="s">
        <v>9</v>
      </c>
      <c r="B13" s="3">
        <v>221.2</v>
      </c>
      <c r="C13" s="2">
        <f t="shared" si="0"/>
        <v>-3.8000000000000114</v>
      </c>
      <c r="D13" s="3">
        <v>46.1</v>
      </c>
      <c r="E13" s="2">
        <f t="shared" si="1"/>
        <v>1.1000000000000014</v>
      </c>
      <c r="F13" s="2"/>
      <c r="G13" s="2"/>
      <c r="H13" s="3">
        <v>225</v>
      </c>
      <c r="I13" s="3">
        <v>45</v>
      </c>
      <c r="J13" s="2"/>
      <c r="K13" s="2"/>
      <c r="L13" s="2"/>
      <c r="M13" s="2"/>
    </row>
    <row r="14" spans="1:13" x14ac:dyDescent="0.25">
      <c r="A14" s="3" t="s">
        <v>10</v>
      </c>
      <c r="B14" s="3">
        <v>242.3</v>
      </c>
      <c r="C14" s="2">
        <f t="shared" si="0"/>
        <v>-5.1999999999999886</v>
      </c>
      <c r="D14" s="3">
        <v>67.099999999999994</v>
      </c>
      <c r="E14" s="2">
        <f t="shared" si="1"/>
        <v>-0.40000000000000568</v>
      </c>
      <c r="F14" s="2"/>
      <c r="G14" s="2"/>
      <c r="H14" s="3">
        <v>247.5</v>
      </c>
      <c r="I14" s="3">
        <v>67.5</v>
      </c>
      <c r="J14" s="2"/>
      <c r="K14" s="2"/>
      <c r="L14" s="2"/>
      <c r="M14" s="2"/>
    </row>
    <row r="15" spans="1:13" x14ac:dyDescent="0.25">
      <c r="A15" s="3" t="s">
        <v>11</v>
      </c>
      <c r="B15" s="3">
        <v>271.7</v>
      </c>
      <c r="C15" s="2">
        <f t="shared" si="0"/>
        <v>1.6999999999999886</v>
      </c>
      <c r="D15" s="3">
        <v>88.9</v>
      </c>
      <c r="E15" s="2">
        <f t="shared" si="1"/>
        <v>-1.0999999999999943</v>
      </c>
      <c r="F15" s="2"/>
      <c r="G15" s="2"/>
      <c r="H15" s="3">
        <v>270</v>
      </c>
      <c r="I15" s="3">
        <v>90</v>
      </c>
      <c r="J15" s="2"/>
      <c r="K15" s="2"/>
      <c r="L15" s="2"/>
      <c r="M15" s="2"/>
    </row>
    <row r="16" spans="1:13" x14ac:dyDescent="0.25">
      <c r="A16" s="3" t="s">
        <v>12</v>
      </c>
      <c r="B16" s="3">
        <v>303.10000000000002</v>
      </c>
      <c r="C16" s="2">
        <f t="shared" si="0"/>
        <v>10.600000000000023</v>
      </c>
      <c r="D16" s="3">
        <v>118.7</v>
      </c>
      <c r="E16" s="2">
        <f t="shared" si="1"/>
        <v>6.2000000000000028</v>
      </c>
      <c r="F16" s="2"/>
      <c r="G16" s="2"/>
      <c r="H16" s="3">
        <v>292.5</v>
      </c>
      <c r="I16" s="3">
        <v>112.5</v>
      </c>
      <c r="J16" s="2"/>
      <c r="K16" s="2"/>
      <c r="L16" s="2"/>
      <c r="M16" s="2"/>
    </row>
    <row r="17" spans="1:13" x14ac:dyDescent="0.25">
      <c r="A17" s="3" t="s">
        <v>13</v>
      </c>
      <c r="B17" s="3">
        <v>321.10000000000002</v>
      </c>
      <c r="C17" s="2">
        <f t="shared" si="0"/>
        <v>6.1000000000000227</v>
      </c>
      <c r="D17" s="3">
        <v>141.69999999999999</v>
      </c>
      <c r="E17" s="2">
        <f t="shared" si="1"/>
        <v>6.6999999999999886</v>
      </c>
      <c r="F17" s="2"/>
      <c r="G17" s="2"/>
      <c r="H17" s="3">
        <v>315</v>
      </c>
      <c r="I17" s="3">
        <v>135</v>
      </c>
      <c r="J17" s="2"/>
      <c r="K17" s="2"/>
      <c r="L17" s="2"/>
      <c r="M17" s="2"/>
    </row>
    <row r="18" spans="1:13" x14ac:dyDescent="0.25">
      <c r="A18" s="3" t="s">
        <v>14</v>
      </c>
      <c r="B18" s="3">
        <v>345.6</v>
      </c>
      <c r="C18" s="2">
        <f t="shared" si="0"/>
        <v>8.1000000000000227</v>
      </c>
      <c r="D18" s="3">
        <v>169</v>
      </c>
      <c r="E18" s="2">
        <f t="shared" si="1"/>
        <v>11.5</v>
      </c>
      <c r="F18" s="2"/>
      <c r="G18" s="2"/>
      <c r="H18" s="3">
        <v>337.5</v>
      </c>
      <c r="I18" s="3">
        <v>157.5</v>
      </c>
      <c r="J18" s="2"/>
      <c r="K18" s="2"/>
      <c r="L18" s="2"/>
      <c r="M18" s="2"/>
    </row>
    <row r="19" spans="1:13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5">
      <c r="A24" s="2"/>
      <c r="B24" s="2" t="s">
        <v>2</v>
      </c>
      <c r="C24" s="2"/>
      <c r="E24" s="2" t="s">
        <v>5</v>
      </c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2" t="s">
        <v>6</v>
      </c>
      <c r="B25" s="2" t="s">
        <v>3</v>
      </c>
      <c r="C25" s="2" t="s">
        <v>4</v>
      </c>
      <c r="D25" s="2" t="s">
        <v>6</v>
      </c>
      <c r="E25" s="2" t="s">
        <v>3</v>
      </c>
      <c r="F25" s="2" t="s">
        <v>4</v>
      </c>
      <c r="G25" s="2"/>
      <c r="H25" s="2"/>
      <c r="I25" s="2"/>
      <c r="J25" s="2"/>
      <c r="K25" s="2"/>
      <c r="L25" s="2"/>
      <c r="M25" s="2"/>
    </row>
    <row r="26" spans="1:13" x14ac:dyDescent="0.25">
      <c r="A26" s="3">
        <v>0</v>
      </c>
      <c r="B26" s="3">
        <v>3.6</v>
      </c>
      <c r="C26" s="2">
        <f>B26-A26</f>
        <v>3.6</v>
      </c>
      <c r="D26" s="3">
        <v>0</v>
      </c>
      <c r="E26" s="3">
        <v>4.7</v>
      </c>
      <c r="F26" s="2">
        <f>E26-D26</f>
        <v>4.7</v>
      </c>
      <c r="G26" s="2"/>
      <c r="H26" s="2"/>
      <c r="I26" s="2"/>
      <c r="J26" s="2"/>
      <c r="K26" s="2"/>
      <c r="L26" s="2"/>
      <c r="M26" s="2"/>
    </row>
    <row r="27" spans="1:13" x14ac:dyDescent="0.25">
      <c r="A27" s="3">
        <v>22.5</v>
      </c>
      <c r="B27" s="3">
        <v>19.3</v>
      </c>
      <c r="C27" s="2">
        <f t="shared" ref="C27:C41" si="2">B27-A27</f>
        <v>-3.1999999999999993</v>
      </c>
      <c r="D27" s="3">
        <v>22.5</v>
      </c>
      <c r="E27" s="3">
        <v>28.2</v>
      </c>
      <c r="F27" s="2">
        <f t="shared" ref="F27:F41" si="3">E27-D27</f>
        <v>5.6999999999999993</v>
      </c>
      <c r="G27" s="2"/>
      <c r="H27" s="2"/>
      <c r="I27" s="2"/>
      <c r="J27" s="2"/>
      <c r="K27" s="2"/>
      <c r="L27" s="2"/>
      <c r="M27" s="2"/>
    </row>
    <row r="28" spans="1:13" x14ac:dyDescent="0.25">
      <c r="A28" s="3">
        <v>45</v>
      </c>
      <c r="B28" s="3">
        <v>52.2</v>
      </c>
      <c r="C28" s="2">
        <f t="shared" si="2"/>
        <v>7.2000000000000028</v>
      </c>
      <c r="D28" s="3">
        <v>45</v>
      </c>
      <c r="E28" s="3">
        <v>49.3</v>
      </c>
      <c r="F28" s="2">
        <f t="shared" si="3"/>
        <v>4.2999999999999972</v>
      </c>
    </row>
    <row r="29" spans="1:13" x14ac:dyDescent="0.25">
      <c r="A29" s="3">
        <v>67.5</v>
      </c>
      <c r="B29" s="3">
        <v>72.099999999999994</v>
      </c>
      <c r="C29" s="2">
        <f t="shared" si="2"/>
        <v>4.5999999999999943</v>
      </c>
      <c r="D29" s="3">
        <v>67.5</v>
      </c>
      <c r="E29" s="3">
        <v>72.7</v>
      </c>
      <c r="F29" s="2">
        <f t="shared" si="3"/>
        <v>5.2000000000000028</v>
      </c>
    </row>
    <row r="30" spans="1:13" x14ac:dyDescent="0.25">
      <c r="A30" s="3">
        <v>90</v>
      </c>
      <c r="B30" s="3">
        <v>89.1</v>
      </c>
      <c r="C30" s="2">
        <f t="shared" si="2"/>
        <v>-0.90000000000000568</v>
      </c>
      <c r="D30" s="3">
        <v>90</v>
      </c>
      <c r="E30" s="3">
        <v>93.7</v>
      </c>
      <c r="F30" s="2">
        <f t="shared" si="3"/>
        <v>3.7000000000000028</v>
      </c>
    </row>
    <row r="31" spans="1:13" x14ac:dyDescent="0.25">
      <c r="A31" s="3">
        <v>112.5</v>
      </c>
      <c r="B31" s="3">
        <v>116.9</v>
      </c>
      <c r="C31" s="2">
        <f t="shared" si="2"/>
        <v>4.4000000000000057</v>
      </c>
      <c r="D31" s="3">
        <v>112.5</v>
      </c>
      <c r="E31" s="3">
        <v>107.1</v>
      </c>
      <c r="F31" s="2">
        <f t="shared" si="3"/>
        <v>-5.4000000000000057</v>
      </c>
    </row>
    <row r="32" spans="1:13" x14ac:dyDescent="0.25">
      <c r="A32" s="3">
        <v>135</v>
      </c>
      <c r="B32" s="3">
        <v>136.5</v>
      </c>
      <c r="C32" s="2">
        <f t="shared" si="2"/>
        <v>1.5</v>
      </c>
      <c r="D32" s="3">
        <v>135</v>
      </c>
      <c r="E32" s="3">
        <v>129</v>
      </c>
      <c r="F32" s="2">
        <f t="shared" si="3"/>
        <v>-6</v>
      </c>
    </row>
    <row r="33" spans="1:6" x14ac:dyDescent="0.25">
      <c r="A33" s="3">
        <v>157.5</v>
      </c>
      <c r="B33" s="3">
        <v>157.1</v>
      </c>
      <c r="C33" s="2">
        <f t="shared" si="2"/>
        <v>-0.40000000000000568</v>
      </c>
      <c r="D33" s="3">
        <v>157.5</v>
      </c>
      <c r="E33" s="3">
        <v>148</v>
      </c>
      <c r="F33" s="2">
        <f t="shared" si="3"/>
        <v>-9.5</v>
      </c>
    </row>
    <row r="34" spans="1:6" x14ac:dyDescent="0.25">
      <c r="A34" s="3">
        <v>180</v>
      </c>
      <c r="B34" s="3">
        <v>174.6</v>
      </c>
      <c r="C34" s="2">
        <f t="shared" si="2"/>
        <v>-5.4000000000000057</v>
      </c>
      <c r="D34" s="3">
        <v>0</v>
      </c>
      <c r="E34" s="3">
        <v>0.7</v>
      </c>
      <c r="F34" s="2">
        <f t="shared" si="3"/>
        <v>0.7</v>
      </c>
    </row>
    <row r="35" spans="1:6" x14ac:dyDescent="0.25">
      <c r="A35" s="3">
        <v>202.5</v>
      </c>
      <c r="B35" s="3">
        <v>202.7</v>
      </c>
      <c r="C35" s="2">
        <f t="shared" si="2"/>
        <v>0.19999999999998863</v>
      </c>
      <c r="D35" s="3">
        <v>22.5</v>
      </c>
      <c r="E35" s="3">
        <v>21.5</v>
      </c>
      <c r="F35" s="2">
        <f t="shared" si="3"/>
        <v>-1</v>
      </c>
    </row>
    <row r="36" spans="1:6" x14ac:dyDescent="0.25">
      <c r="A36" s="3">
        <v>225</v>
      </c>
      <c r="B36" s="3">
        <v>221.2</v>
      </c>
      <c r="C36" s="2">
        <f t="shared" si="2"/>
        <v>-3.8000000000000114</v>
      </c>
      <c r="D36" s="3">
        <v>45</v>
      </c>
      <c r="E36" s="3">
        <v>46.1</v>
      </c>
      <c r="F36" s="2">
        <f t="shared" si="3"/>
        <v>1.1000000000000014</v>
      </c>
    </row>
    <row r="37" spans="1:6" x14ac:dyDescent="0.25">
      <c r="A37" s="3">
        <v>247.5</v>
      </c>
      <c r="B37" s="3">
        <v>242.3</v>
      </c>
      <c r="C37" s="2">
        <f t="shared" si="2"/>
        <v>-5.1999999999999886</v>
      </c>
      <c r="D37" s="3">
        <v>67.5</v>
      </c>
      <c r="E37" s="3">
        <v>67.099999999999994</v>
      </c>
      <c r="F37" s="2">
        <f t="shared" si="3"/>
        <v>-0.40000000000000568</v>
      </c>
    </row>
    <row r="38" spans="1:6" x14ac:dyDescent="0.25">
      <c r="A38" s="3">
        <v>270</v>
      </c>
      <c r="B38" s="3">
        <v>271.7</v>
      </c>
      <c r="C38" s="2">
        <f t="shared" si="2"/>
        <v>1.6999999999999886</v>
      </c>
      <c r="D38" s="3">
        <v>90</v>
      </c>
      <c r="E38" s="3">
        <v>88.9</v>
      </c>
      <c r="F38" s="2">
        <f t="shared" si="3"/>
        <v>-1.0999999999999943</v>
      </c>
    </row>
    <row r="39" spans="1:6" x14ac:dyDescent="0.25">
      <c r="A39" s="3">
        <v>292.5</v>
      </c>
      <c r="B39" s="3">
        <v>303.10000000000002</v>
      </c>
      <c r="C39" s="2">
        <f t="shared" si="2"/>
        <v>10.600000000000023</v>
      </c>
      <c r="D39" s="3">
        <v>112.5</v>
      </c>
      <c r="E39" s="3">
        <v>118.7</v>
      </c>
      <c r="F39" s="2">
        <f t="shared" si="3"/>
        <v>6.2000000000000028</v>
      </c>
    </row>
    <row r="40" spans="1:6" x14ac:dyDescent="0.25">
      <c r="A40" s="3">
        <v>315</v>
      </c>
      <c r="B40" s="3">
        <v>321.10000000000002</v>
      </c>
      <c r="C40" s="2">
        <f t="shared" si="2"/>
        <v>6.1000000000000227</v>
      </c>
      <c r="D40" s="3">
        <v>135</v>
      </c>
      <c r="E40" s="3">
        <v>141.69999999999999</v>
      </c>
      <c r="F40" s="2">
        <f t="shared" si="3"/>
        <v>6.6999999999999886</v>
      </c>
    </row>
    <row r="41" spans="1:6" x14ac:dyDescent="0.25">
      <c r="A41" s="3">
        <v>337.5</v>
      </c>
      <c r="B41" s="3">
        <v>345.6</v>
      </c>
      <c r="C41" s="2">
        <f t="shared" si="2"/>
        <v>8.1000000000000227</v>
      </c>
      <c r="D41" s="3">
        <v>157.5</v>
      </c>
      <c r="E41" s="3">
        <v>169</v>
      </c>
      <c r="F41" s="2">
        <f t="shared" si="3"/>
        <v>11.5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tmag5170_xy</vt:lpstr>
      <vt:lpstr>tmag6180_xy</vt:lpstr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Augustin Lin</cp:lastModifiedBy>
  <dcterms:modified xsi:type="dcterms:W3CDTF">2026-05-01T02:28:32Z</dcterms:modified>
</cp:coreProperties>
</file>